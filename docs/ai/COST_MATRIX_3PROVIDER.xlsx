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iders" sheetId="1" state="visible" r:id="rId3"/>
    <sheet name="Ops" sheetId="2" state="visible" r:id="rId4"/>
    <sheet name="Cost Matrix" sheetId="3" state="visible" r:id="rId5"/>
    <sheet name="Routing vs Best" sheetId="4" state="visible" r:id="rId6"/>
    <sheet name="Credit Margin" sheetId="5" state="visible" r:id="rId7"/>
    <sheet name="Organic Ancho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<sst xmlns="http://schemas.openxmlformats.org/spreadsheetml/2006/main" count="121" uniqueCount="100">
  <si>
    <t xml:space="preserve">ProviderId</t>
  </si>
  <si>
    <t xml:space="preserve">Model (env default)</t>
  </si>
  <si>
    <t xml:space="preserve">Input $/Mtok</t>
  </si>
  <si>
    <t xml:space="preserve">Output $/Mtok</t>
  </si>
  <si>
    <t xml:space="preserve">Source / verify URL</t>
  </si>
  <si>
    <t xml:space="preserve">anthropic</t>
  </si>
  <si>
    <t xml:space="preserve">claude-haiku-4-5-20251001</t>
  </si>
  <si>
    <t xml:space="preserve">https://www.anthropic.com/pricing — Haiku 4.5 (Oct 2025)</t>
  </si>
  <si>
    <t xml:space="preserve">anthropic-sonnet</t>
  </si>
  <si>
    <t xml:space="preserve">claude-sonnet-4-6 (fallback for deep ops)</t>
  </si>
  <si>
    <t xml:space="preserve">https://www.anthropic.com/pricing — Sonnet 4.6</t>
  </si>
  <si>
    <t xml:space="preserve">openai</t>
  </si>
  <si>
    <t xml:space="preserve">gpt-4o-mini</t>
  </si>
  <si>
    <t xml:space="preserve">https://openai.com/api/pricing — gpt-4o-mini</t>
  </si>
  <si>
    <t xml:space="preserve">gemini</t>
  </si>
  <si>
    <t xml:space="preserve">gemini-2.5-flash</t>
  </si>
  <si>
    <t xml:space="preserve">https://ai.google.dev/pricing — 2.5 Flash (NOT 1.5; margin_scenarios.py uses STALE 1.5 price)</t>
  </si>
  <si>
    <t xml:space="preserve">gemini-15</t>
  </si>
  <si>
    <t xml:space="preserve">gemini-1.5-flash (legacy; retired in registry)</t>
  </si>
  <si>
    <t xml:space="preserve">https://ai.google.dev/pricing — 1.5 Flash</t>
  </si>
  <si>
    <t xml:space="preserve">Op</t>
  </si>
  <si>
    <t xml:space="preserve">Credits/call</t>
  </si>
  <si>
    <t xml:space="preserve">Input tokens</t>
  </si>
  <si>
    <t xml:space="preserve">Output tokens</t>
  </si>
  <si>
    <t xml:space="preserve">Current-policy primary</t>
  </si>
  <si>
    <t xml:space="preserve">Notes</t>
  </si>
  <si>
    <t xml:space="preserve">chat_turn</t>
  </si>
  <si>
    <t xml:space="preserve">ROUTING_POLICY.chat = [openai,anthropic,gemini]</t>
  </si>
  <si>
    <t xml:space="preserve">summarize</t>
  </si>
  <si>
    <t xml:space="preserve">ROUTING_POLICY.summarize = [anthropic,openai,gemini]</t>
  </si>
  <si>
    <t xml:space="preserve">translate</t>
  </si>
  <si>
    <t xml:space="preserve">ROUTING_POLICY.translate = [gemini,anthropic,openai]</t>
  </si>
  <si>
    <t xml:space="preserve">ocr</t>
  </si>
  <si>
    <t xml:space="preserve">ROUTING_POLICY.ocr = [gemini,anthropic] (pdfInput cap)</t>
  </si>
  <si>
    <t xml:space="preserve">compare</t>
  </si>
  <si>
    <t xml:space="preserve">ROUTING_POLICY.compare = [anthropic,openai,gemini]</t>
  </si>
  <si>
    <t xml:space="preserve">rewrite</t>
  </si>
  <si>
    <t xml:space="preserve">per AI_OPERATION_COSTS; routed as generate-class</t>
  </si>
  <si>
    <t xml:space="preserve">table</t>
  </si>
  <si>
    <t xml:space="preserve">per AI_OPERATION_COSTS</t>
  </si>
  <si>
    <t xml:space="preserve">redact</t>
  </si>
  <si>
    <t xml:space="preserve">generate</t>
  </si>
  <si>
    <t xml:space="preserve">ROUTING_POLICY.generate = [anthropic,openai,gemini]</t>
  </si>
  <si>
    <t xml:space="preserve">sign</t>
  </si>
  <si>
    <t xml:space="preserve">ROUTING_POLICY.sign = [anthropic,openai,gemini]</t>
  </si>
  <si>
    <t xml:space="preserve">Credits</t>
  </si>
  <si>
    <t xml:space="preserve">In tok</t>
  </si>
  <si>
    <t xml:space="preserve">Out tok</t>
  </si>
  <si>
    <t xml:space="preserve">Anthropic Haiku $/call</t>
  </si>
  <si>
    <t xml:space="preserve">OpenAI 4o-mini $/call</t>
  </si>
  <si>
    <t xml:space="preserve">Gemini 2.5 Flash $/call</t>
  </si>
  <si>
    <t xml:space="preserve">Cheapest $/call</t>
  </si>
  <si>
    <t xml:space="preserve">Current-policy $/call</t>
  </si>
  <si>
    <t xml:space="preserve">$ savings/call if re-routed</t>
  </si>
  <si>
    <t xml:space="preserve">TOTAL (single-call basket)</t>
  </si>
  <si>
    <t xml:space="preserve">Current primary</t>
  </si>
  <si>
    <t xml:space="preserve">Cheapest provider</t>
  </si>
  <si>
    <t xml:space="preserve">Match?</t>
  </si>
  <si>
    <t xml:space="preserve">Current $/call</t>
  </si>
  <si>
    <t xml:space="preserve">Savings $/call</t>
  </si>
  <si>
    <t xml:space="preserve">Savings / 1k calls</t>
  </si>
  <si>
    <t xml:space="preserve">ASSUMPTIONS</t>
  </si>
  <si>
    <t xml:space="preserve">USD / credit (reference)</t>
  </si>
  <si>
    <t xml:space="preserve">REFERENCE_USD_MICROS_PER_CREDIT / 1_000_000 from lib/ai/margin-rollup.ts:72 (Pro-pack rate)</t>
  </si>
  <si>
    <t xml:space="preserve">Target gross margin</t>
  </si>
  <si>
    <t xml:space="preserve">75% AI-cost-only target; net margin after processor/infra is ~10-15pp lower</t>
  </si>
  <si>
    <t xml:space="preserve">Revenue/call</t>
  </si>
  <si>
    <t xml:space="preserve">GM% @ current</t>
  </si>
  <si>
    <t xml:space="preserve">GM% @ cheapest</t>
  </si>
  <si>
    <t xml:space="preserve">Credit price needed for target @ current</t>
  </si>
  <si>
    <t xml:space="preserve">Action</t>
  </si>
  <si>
    <t xml:space="preserve">REAL DATA — 1st ai_usage row from Hostinger production (gate #3 close)</t>
  </si>
  <si>
    <t xml:space="preserve">id</t>
  </si>
  <si>
    <t xml:space="preserve">4aba9e70-918a-4fe5-bc3e-1848609f8f55</t>
  </si>
  <si>
    <t xml:space="preserve">user_id</t>
  </si>
  <si>
    <t xml:space="preserve">4e20c284-cecd-4e23-abce-1858cb039ce6</t>
  </si>
  <si>
    <t xml:space="preserve">operation</t>
  </si>
  <si>
    <t xml:space="preserve">provider_id</t>
  </si>
  <si>
    <t xml:space="preserve">model</t>
  </si>
  <si>
    <t xml:space="preserve">input_tokens</t>
  </si>
  <si>
    <t xml:space="preserve">output_tokens</t>
  </si>
  <si>
    <t xml:space="preserve">latency_ms</t>
  </si>
  <si>
    <t xml:space="preserve">credits_spent</t>
  </si>
  <si>
    <t xml:space="preserve">created_at</t>
  </si>
  <si>
    <t xml:space="preserve">2026-04-21 17:25:26.149 UTC</t>
  </si>
  <si>
    <t xml:space="preserve">COMPUTED COST (formula):</t>
  </si>
  <si>
    <t xml:space="preserve">Cost USD (Anthropic Haiku):</t>
  </si>
  <si>
    <t xml:space="preserve">Cost if routed to OpenAI 4o-mini:</t>
  </si>
  <si>
    <t xml:space="preserve">Cost if routed to Gemini 2.5 Flash:</t>
  </si>
  <si>
    <t xml:space="preserve">Revenue @ $0.030/credit:</t>
  </si>
  <si>
    <t xml:space="preserve">GM% at Anthropic (actual):</t>
  </si>
  <si>
    <t xml:space="preserve">GM% if we had routed to Gemini:</t>
  </si>
  <si>
    <t xml:space="preserve">Estimate in margin_scenarios.py (summarize):</t>
  </si>
  <si>
    <t xml:space="preserve">8000 in / 600 out</t>
  </si>
  <si>
    <t xml:space="preserve">Real row:</t>
  </si>
  <si>
    <t xml:space="preserve">1291 in / 839 out</t>
  </si>
  <si>
    <t xml:space="preserve">Observation:</t>
  </si>
  <si>
    <t xml:space="preserve">Real tokens 6.2x lower on input, 1.4x higher on output — summarize estimate is OVER-conservative for short docs</t>
  </si>
  <si>
    <t xml:space="preserve">Follow-up:</t>
  </si>
  <si>
    <t xml:space="preserve">Re-calibrate OP_TOKENS after 50+ rows accumulate; until then, margin model UNDER-reports true margin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</si>
</sst>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0000;&quot;$(&quot;#,##0.000000\);\-"/>
    <numFmt numFmtId="166" formatCode="\$#,##0.000000"/>
    <numFmt numFmtId="167" formatCode="\$#,##0.00"/>
    <numFmt numFmtId="168" formatCode="\$#,##0.000"/>
    <numFmt numFmtId="169" formatCode="0.0%"/>
    <numFmt numFmtId="170" formatCode="\$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4" min="3" style="0" width="14"/>
    <col collapsed="false" customWidth="true" hidden="false" outlineLevel="0" max="5" min="5" style="0" width="7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3" t="n">
        <v>1</v>
      </c>
      <c r="D2" s="3" t="n">
        <v>5</v>
      </c>
      <c r="E2" s="2" t="s">
        <v>7</v>
      </c>
    </row>
    <row r="3" customFormat="false" ht="15" hidden="false" customHeight="false" outlineLevel="0" collapsed="false">
      <c r="A3" s="2" t="s">
        <v>8</v>
      </c>
      <c r="B3" s="2" t="s">
        <v>9</v>
      </c>
      <c r="C3" s="3" t="n">
        <v>3</v>
      </c>
      <c r="D3" s="3" t="n">
        <v>15</v>
      </c>
      <c r="E3" s="2" t="s">
        <v>10</v>
      </c>
    </row>
    <row r="4" customFormat="false" ht="15" hidden="false" customHeight="false" outlineLevel="0" collapsed="false">
      <c r="A4" s="2" t="s">
        <v>11</v>
      </c>
      <c r="B4" s="2" t="s">
        <v>12</v>
      </c>
      <c r="C4" s="3" t="n">
        <v>0.15</v>
      </c>
      <c r="D4" s="3" t="n">
        <v>0.6</v>
      </c>
      <c r="E4" s="2" t="s">
        <v>13</v>
      </c>
    </row>
    <row r="5" customFormat="false" ht="15" hidden="false" customHeight="false" outlineLevel="0" collapsed="false">
      <c r="A5" s="2" t="s">
        <v>14</v>
      </c>
      <c r="B5" s="2" t="s">
        <v>15</v>
      </c>
      <c r="C5" s="3" t="n">
        <v>0.3</v>
      </c>
      <c r="D5" s="3" t="n">
        <v>2.5</v>
      </c>
      <c r="E5" s="2" t="s">
        <v>16</v>
      </c>
    </row>
    <row r="6" customFormat="false" ht="15" hidden="false" customHeight="false" outlineLevel="0" collapsed="false">
      <c r="A6" s="2" t="s">
        <v>17</v>
      </c>
      <c r="B6" s="2" t="s">
        <v>18</v>
      </c>
      <c r="C6" s="3" t="n">
        <v>0.075</v>
      </c>
      <c r="D6" s="3" t="n">
        <v>0.3</v>
      </c>
      <c r="E6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4"/>
    <col collapsed="false" customWidth="true" hidden="false" outlineLevel="0" max="5" min="5" style="0" width="22"/>
    <col collapsed="false" customWidth="true" hidden="false" outlineLevel="0" max="6" min="6" style="0" width="58"/>
  </cols>
  <sheetData>
    <row r="1" customFormat="false" ht="15" hidden="false" customHeight="false" outlineLevel="0" collapsed="false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customFormat="false" ht="15" hidden="false" customHeight="false" outlineLevel="0" collapsed="false">
      <c r="A2" s="2" t="s">
        <v>26</v>
      </c>
      <c r="B2" s="3" t="n">
        <v>1</v>
      </c>
      <c r="C2" s="3" t="n">
        <v>1500</v>
      </c>
      <c r="D2" s="3" t="n">
        <v>400</v>
      </c>
      <c r="E2" s="2" t="s">
        <v>11</v>
      </c>
      <c r="F2" s="2" t="s">
        <v>27</v>
      </c>
    </row>
    <row r="3" customFormat="false" ht="15" hidden="false" customHeight="false" outlineLevel="0" collapsed="false">
      <c r="A3" s="2" t="s">
        <v>28</v>
      </c>
      <c r="B3" s="3" t="n">
        <v>3</v>
      </c>
      <c r="C3" s="3" t="n">
        <v>8000</v>
      </c>
      <c r="D3" s="3" t="n">
        <v>600</v>
      </c>
      <c r="E3" s="2" t="s">
        <v>5</v>
      </c>
      <c r="F3" s="2" t="s">
        <v>29</v>
      </c>
    </row>
    <row r="4" customFormat="false" ht="15" hidden="false" customHeight="false" outlineLevel="0" collapsed="false">
      <c r="A4" s="2" t="s">
        <v>30</v>
      </c>
      <c r="B4" s="3" t="n">
        <v>5</v>
      </c>
      <c r="C4" s="3" t="n">
        <v>3000</v>
      </c>
      <c r="D4" s="3" t="n">
        <v>3200</v>
      </c>
      <c r="E4" s="2" t="s">
        <v>14</v>
      </c>
      <c r="F4" s="2" t="s">
        <v>31</v>
      </c>
    </row>
    <row r="5" customFormat="false" ht="15" hidden="false" customHeight="false" outlineLevel="0" collapsed="false">
      <c r="A5" s="2" t="s">
        <v>32</v>
      </c>
      <c r="B5" s="3" t="n">
        <v>2</v>
      </c>
      <c r="C5" s="3" t="n">
        <v>500</v>
      </c>
      <c r="D5" s="3" t="n">
        <v>800</v>
      </c>
      <c r="E5" s="2" t="s">
        <v>14</v>
      </c>
      <c r="F5" s="2" t="s">
        <v>33</v>
      </c>
    </row>
    <row r="6" customFormat="false" ht="15" hidden="false" customHeight="false" outlineLevel="0" collapsed="false">
      <c r="A6" s="2" t="s">
        <v>34</v>
      </c>
      <c r="B6" s="3" t="n">
        <v>15</v>
      </c>
      <c r="C6" s="3" t="n">
        <v>15000</v>
      </c>
      <c r="D6" s="3" t="n">
        <v>2000</v>
      </c>
      <c r="E6" s="2" t="s">
        <v>5</v>
      </c>
      <c r="F6" s="2" t="s">
        <v>35</v>
      </c>
    </row>
    <row r="7" customFormat="false" ht="15" hidden="false" customHeight="false" outlineLevel="0" collapsed="false">
      <c r="A7" s="2" t="s">
        <v>36</v>
      </c>
      <c r="B7" s="3" t="n">
        <v>3</v>
      </c>
      <c r="C7" s="3" t="n">
        <v>4000</v>
      </c>
      <c r="D7" s="3" t="n">
        <v>4200</v>
      </c>
      <c r="E7" s="2" t="s">
        <v>5</v>
      </c>
      <c r="F7" s="2" t="s">
        <v>37</v>
      </c>
    </row>
    <row r="8" customFormat="false" ht="15" hidden="false" customHeight="false" outlineLevel="0" collapsed="false">
      <c r="A8" s="2" t="s">
        <v>38</v>
      </c>
      <c r="B8" s="3" t="n">
        <v>3</v>
      </c>
      <c r="C8" s="3" t="n">
        <v>6000</v>
      </c>
      <c r="D8" s="3" t="n">
        <v>1500</v>
      </c>
      <c r="E8" s="2" t="s">
        <v>5</v>
      </c>
      <c r="F8" s="2" t="s">
        <v>39</v>
      </c>
    </row>
    <row r="9" customFormat="false" ht="15" hidden="false" customHeight="false" outlineLevel="0" collapsed="false">
      <c r="A9" s="2" t="s">
        <v>40</v>
      </c>
      <c r="B9" s="3" t="n">
        <v>5</v>
      </c>
      <c r="C9" s="3" t="n">
        <v>5000</v>
      </c>
      <c r="D9" s="3" t="n">
        <v>1000</v>
      </c>
      <c r="E9" s="2" t="s">
        <v>5</v>
      </c>
      <c r="F9" s="2" t="s">
        <v>39</v>
      </c>
    </row>
    <row r="10" customFormat="false" ht="15" hidden="false" customHeight="false" outlineLevel="0" collapsed="false">
      <c r="A10" s="2" t="s">
        <v>41</v>
      </c>
      <c r="B10" s="3" t="n">
        <v>20</v>
      </c>
      <c r="C10" s="3" t="n">
        <v>2000</v>
      </c>
      <c r="D10" s="3" t="n">
        <v>8000</v>
      </c>
      <c r="E10" s="2" t="s">
        <v>5</v>
      </c>
      <c r="F10" s="2" t="s">
        <v>42</v>
      </c>
    </row>
    <row r="11" customFormat="false" ht="15" hidden="false" customHeight="false" outlineLevel="0" collapsed="false">
      <c r="A11" s="2" t="s">
        <v>43</v>
      </c>
      <c r="B11" s="3" t="n">
        <v>10</v>
      </c>
      <c r="C11" s="3" t="n">
        <v>1000</v>
      </c>
      <c r="D11" s="3" t="n">
        <v>1500</v>
      </c>
      <c r="E11" s="2" t="s">
        <v>5</v>
      </c>
      <c r="F11" s="2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10" min="3" style="0" width="16"/>
  </cols>
  <sheetData>
    <row r="1" customFormat="false" ht="31.5" hidden="false" customHeight="true" outlineLevel="0" collapsed="false">
      <c r="A1" s="4" t="s">
        <v>20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53</v>
      </c>
    </row>
    <row r="2" customFormat="false" ht="15" hidden="false" customHeight="false" outlineLevel="0" collapsed="false">
      <c r="A2" s="5" t="str">
        <f aca="false">Ops!A2</f>
        <v>chat_turn</v>
      </c>
      <c r="B2" s="5" t="n">
        <f aca="false">Ops!B2</f>
        <v>1</v>
      </c>
      <c r="C2" s="5" t="n">
        <f aca="false">Ops!C2</f>
        <v>1500</v>
      </c>
      <c r="D2" s="5" t="n">
        <f aca="false">Ops!D2</f>
        <v>400</v>
      </c>
      <c r="E2" s="6" t="n">
        <f aca="false">(C2*Providers!$C$2+D2*Providers!$D$2)/1000000</f>
        <v>0.0035</v>
      </c>
      <c r="F2" s="6" t="n">
        <f aca="false">(C2*Providers!$C$4+D2*Providers!$D$4)/1000000</f>
        <v>0.000465</v>
      </c>
      <c r="G2" s="6" t="n">
        <f aca="false">(C2*Providers!$C$5+D2*Providers!$D$5)/1000000</f>
        <v>0.00145</v>
      </c>
      <c r="H2" s="6" t="n">
        <f aca="false">MIN(E2:G2)</f>
        <v>0.000465</v>
      </c>
      <c r="I2" s="6" t="n">
        <f aca="false">IF(Ops!E2="anthropic",E2,IF(Ops!E2="openai",F2,G2))</f>
        <v>0.000465</v>
      </c>
      <c r="J2" s="6" t="n">
        <f aca="false">I2-H2</f>
        <v>0</v>
      </c>
    </row>
    <row r="3" customFormat="false" ht="15" hidden="false" customHeight="false" outlineLevel="0" collapsed="false">
      <c r="A3" s="5" t="str">
        <f aca="false">Ops!A3</f>
        <v>summarize</v>
      </c>
      <c r="B3" s="5" t="n">
        <f aca="false">Ops!B3</f>
        <v>3</v>
      </c>
      <c r="C3" s="5" t="n">
        <f aca="false">Ops!C3</f>
        <v>8000</v>
      </c>
      <c r="D3" s="5" t="n">
        <f aca="false">Ops!D3</f>
        <v>600</v>
      </c>
      <c r="E3" s="6" t="n">
        <f aca="false">(C3*Providers!$C$2+D3*Providers!$D$2)/1000000</f>
        <v>0.011</v>
      </c>
      <c r="F3" s="6" t="n">
        <f aca="false">(C3*Providers!$C$4+D3*Providers!$D$4)/1000000</f>
        <v>0.00156</v>
      </c>
      <c r="G3" s="6" t="n">
        <f aca="false">(C3*Providers!$C$5+D3*Providers!$D$5)/1000000</f>
        <v>0.0039</v>
      </c>
      <c r="H3" s="6" t="n">
        <f aca="false">MIN(E3:G3)</f>
        <v>0.00156</v>
      </c>
      <c r="I3" s="6" t="n">
        <f aca="false">IF(Ops!E3="anthropic",E3,IF(Ops!E3="openai",F3,G3))</f>
        <v>0.011</v>
      </c>
      <c r="J3" s="6" t="n">
        <f aca="false">I3-H3</f>
        <v>0.00944</v>
      </c>
    </row>
    <row r="4" customFormat="false" ht="15" hidden="false" customHeight="false" outlineLevel="0" collapsed="false">
      <c r="A4" s="5" t="str">
        <f aca="false">Ops!A4</f>
        <v>translate</v>
      </c>
      <c r="B4" s="5" t="n">
        <f aca="false">Ops!B4</f>
        <v>5</v>
      </c>
      <c r="C4" s="5" t="n">
        <f aca="false">Ops!C4</f>
        <v>3000</v>
      </c>
      <c r="D4" s="5" t="n">
        <f aca="false">Ops!D4</f>
        <v>3200</v>
      </c>
      <c r="E4" s="6" t="n">
        <f aca="false">(C4*Providers!$C$2+D4*Providers!$D$2)/1000000</f>
        <v>0.019</v>
      </c>
      <c r="F4" s="6" t="n">
        <f aca="false">(C4*Providers!$C$4+D4*Providers!$D$4)/1000000</f>
        <v>0.00237</v>
      </c>
      <c r="G4" s="6" t="n">
        <f aca="false">(C4*Providers!$C$5+D4*Providers!$D$5)/1000000</f>
        <v>0.0089</v>
      </c>
      <c r="H4" s="6" t="n">
        <f aca="false">MIN(E4:G4)</f>
        <v>0.00237</v>
      </c>
      <c r="I4" s="6" t="n">
        <f aca="false">IF(Ops!E4="anthropic",E4,IF(Ops!E4="openai",F4,G4))</f>
        <v>0.0089</v>
      </c>
      <c r="J4" s="6" t="n">
        <f aca="false">I4-H4</f>
        <v>0.00653</v>
      </c>
    </row>
    <row r="5" customFormat="false" ht="15" hidden="false" customHeight="false" outlineLevel="0" collapsed="false">
      <c r="A5" s="5" t="str">
        <f aca="false">Ops!A5</f>
        <v>ocr</v>
      </c>
      <c r="B5" s="5" t="n">
        <f aca="false">Ops!B5</f>
        <v>2</v>
      </c>
      <c r="C5" s="5" t="n">
        <f aca="false">Ops!C5</f>
        <v>500</v>
      </c>
      <c r="D5" s="5" t="n">
        <f aca="false">Ops!D5</f>
        <v>800</v>
      </c>
      <c r="E5" s="6" t="n">
        <f aca="false">(C5*Providers!$C$2+D5*Providers!$D$2)/1000000</f>
        <v>0.0045</v>
      </c>
      <c r="F5" s="6" t="n">
        <f aca="false">(C5*Providers!$C$4+D5*Providers!$D$4)/1000000</f>
        <v>0.000555</v>
      </c>
      <c r="G5" s="6" t="n">
        <f aca="false">(C5*Providers!$C$5+D5*Providers!$D$5)/1000000</f>
        <v>0.00215</v>
      </c>
      <c r="H5" s="6" t="n">
        <f aca="false">MIN(E5:G5)</f>
        <v>0.000555</v>
      </c>
      <c r="I5" s="6" t="n">
        <f aca="false">IF(Ops!E5="anthropic",E5,IF(Ops!E5="openai",F5,G5))</f>
        <v>0.00215</v>
      </c>
      <c r="J5" s="6" t="n">
        <f aca="false">I5-H5</f>
        <v>0.001595</v>
      </c>
    </row>
    <row r="6" customFormat="false" ht="15" hidden="false" customHeight="false" outlineLevel="0" collapsed="false">
      <c r="A6" s="5" t="str">
        <f aca="false">Ops!A6</f>
        <v>compare</v>
      </c>
      <c r="B6" s="5" t="n">
        <f aca="false">Ops!B6</f>
        <v>15</v>
      </c>
      <c r="C6" s="5" t="n">
        <f aca="false">Ops!C6</f>
        <v>15000</v>
      </c>
      <c r="D6" s="5" t="n">
        <f aca="false">Ops!D6</f>
        <v>2000</v>
      </c>
      <c r="E6" s="6" t="n">
        <f aca="false">(C6*Providers!$C$2+D6*Providers!$D$2)/1000000</f>
        <v>0.025</v>
      </c>
      <c r="F6" s="6" t="n">
        <f aca="false">(C6*Providers!$C$4+D6*Providers!$D$4)/1000000</f>
        <v>0.00345</v>
      </c>
      <c r="G6" s="6" t="n">
        <f aca="false">(C6*Providers!$C$5+D6*Providers!$D$5)/1000000</f>
        <v>0.0095</v>
      </c>
      <c r="H6" s="6" t="n">
        <f aca="false">MIN(E6:G6)</f>
        <v>0.00345</v>
      </c>
      <c r="I6" s="6" t="n">
        <f aca="false">IF(Ops!E6="anthropic",E6,IF(Ops!E6="openai",F6,G6))</f>
        <v>0.025</v>
      </c>
      <c r="J6" s="6" t="n">
        <f aca="false">I6-H6</f>
        <v>0.02155</v>
      </c>
    </row>
    <row r="7" customFormat="false" ht="15" hidden="false" customHeight="false" outlineLevel="0" collapsed="false">
      <c r="A7" s="5" t="str">
        <f aca="false">Ops!A7</f>
        <v>rewrite</v>
      </c>
      <c r="B7" s="5" t="n">
        <f aca="false">Ops!B7</f>
        <v>3</v>
      </c>
      <c r="C7" s="5" t="n">
        <f aca="false">Ops!C7</f>
        <v>4000</v>
      </c>
      <c r="D7" s="5" t="n">
        <f aca="false">Ops!D7</f>
        <v>4200</v>
      </c>
      <c r="E7" s="6" t="n">
        <f aca="false">(C7*Providers!$C$2+D7*Providers!$D$2)/1000000</f>
        <v>0.025</v>
      </c>
      <c r="F7" s="6" t="n">
        <f aca="false">(C7*Providers!$C$4+D7*Providers!$D$4)/1000000</f>
        <v>0.00312</v>
      </c>
      <c r="G7" s="6" t="n">
        <f aca="false">(C7*Providers!$C$5+D7*Providers!$D$5)/1000000</f>
        <v>0.0117</v>
      </c>
      <c r="H7" s="6" t="n">
        <f aca="false">MIN(E7:G7)</f>
        <v>0.00312</v>
      </c>
      <c r="I7" s="6" t="n">
        <f aca="false">IF(Ops!E7="anthropic",E7,IF(Ops!E7="openai",F7,G7))</f>
        <v>0.025</v>
      </c>
      <c r="J7" s="6" t="n">
        <f aca="false">I7-H7</f>
        <v>0.02188</v>
      </c>
    </row>
    <row r="8" customFormat="false" ht="15" hidden="false" customHeight="false" outlineLevel="0" collapsed="false">
      <c r="A8" s="5" t="str">
        <f aca="false">Ops!A8</f>
        <v>table</v>
      </c>
      <c r="B8" s="5" t="n">
        <f aca="false">Ops!B8</f>
        <v>3</v>
      </c>
      <c r="C8" s="5" t="n">
        <f aca="false">Ops!C8</f>
        <v>6000</v>
      </c>
      <c r="D8" s="5" t="n">
        <f aca="false">Ops!D8</f>
        <v>1500</v>
      </c>
      <c r="E8" s="6" t="n">
        <f aca="false">(C8*Providers!$C$2+D8*Providers!$D$2)/1000000</f>
        <v>0.0135</v>
      </c>
      <c r="F8" s="6" t="n">
        <f aca="false">(C8*Providers!$C$4+D8*Providers!$D$4)/1000000</f>
        <v>0.0018</v>
      </c>
      <c r="G8" s="6" t="n">
        <f aca="false">(C8*Providers!$C$5+D8*Providers!$D$5)/1000000</f>
        <v>0.00555</v>
      </c>
      <c r="H8" s="6" t="n">
        <f aca="false">MIN(E8:G8)</f>
        <v>0.0018</v>
      </c>
      <c r="I8" s="6" t="n">
        <f aca="false">IF(Ops!E8="anthropic",E8,IF(Ops!E8="openai",F8,G8))</f>
        <v>0.0135</v>
      </c>
      <c r="J8" s="6" t="n">
        <f aca="false">I8-H8</f>
        <v>0.0117</v>
      </c>
    </row>
    <row r="9" customFormat="false" ht="15" hidden="false" customHeight="false" outlineLevel="0" collapsed="false">
      <c r="A9" s="5" t="str">
        <f aca="false">Ops!A9</f>
        <v>redact</v>
      </c>
      <c r="B9" s="5" t="n">
        <f aca="false">Ops!B9</f>
        <v>5</v>
      </c>
      <c r="C9" s="5" t="n">
        <f aca="false">Ops!C9</f>
        <v>5000</v>
      </c>
      <c r="D9" s="5" t="n">
        <f aca="false">Ops!D9</f>
        <v>1000</v>
      </c>
      <c r="E9" s="6" t="n">
        <f aca="false">(C9*Providers!$C$2+D9*Providers!$D$2)/1000000</f>
        <v>0.01</v>
      </c>
      <c r="F9" s="6" t="n">
        <f aca="false">(C9*Providers!$C$4+D9*Providers!$D$4)/1000000</f>
        <v>0.00135</v>
      </c>
      <c r="G9" s="6" t="n">
        <f aca="false">(C9*Providers!$C$5+D9*Providers!$D$5)/1000000</f>
        <v>0.004</v>
      </c>
      <c r="H9" s="6" t="n">
        <f aca="false">MIN(E9:G9)</f>
        <v>0.00135</v>
      </c>
      <c r="I9" s="6" t="n">
        <f aca="false">IF(Ops!E9="anthropic",E9,IF(Ops!E9="openai",F9,G9))</f>
        <v>0.01</v>
      </c>
      <c r="J9" s="6" t="n">
        <f aca="false">I9-H9</f>
        <v>0.00865</v>
      </c>
    </row>
    <row r="10" customFormat="false" ht="15" hidden="false" customHeight="false" outlineLevel="0" collapsed="false">
      <c r="A10" s="5" t="str">
        <f aca="false">Ops!A10</f>
        <v>generate</v>
      </c>
      <c r="B10" s="5" t="n">
        <f aca="false">Ops!B10</f>
        <v>20</v>
      </c>
      <c r="C10" s="5" t="n">
        <f aca="false">Ops!C10</f>
        <v>2000</v>
      </c>
      <c r="D10" s="5" t="n">
        <f aca="false">Ops!D10</f>
        <v>8000</v>
      </c>
      <c r="E10" s="6" t="n">
        <f aca="false">(C10*Providers!$C$2+D10*Providers!$D$2)/1000000</f>
        <v>0.042</v>
      </c>
      <c r="F10" s="6" t="n">
        <f aca="false">(C10*Providers!$C$4+D10*Providers!$D$4)/1000000</f>
        <v>0.0051</v>
      </c>
      <c r="G10" s="6" t="n">
        <f aca="false">(C10*Providers!$C$5+D10*Providers!$D$5)/1000000</f>
        <v>0.0206</v>
      </c>
      <c r="H10" s="6" t="n">
        <f aca="false">MIN(E10:G10)</f>
        <v>0.0051</v>
      </c>
      <c r="I10" s="6" t="n">
        <f aca="false">IF(Ops!E10="anthropic",E10,IF(Ops!E10="openai",F10,G10))</f>
        <v>0.042</v>
      </c>
      <c r="J10" s="6" t="n">
        <f aca="false">I10-H10</f>
        <v>0.0369</v>
      </c>
    </row>
    <row r="11" customFormat="false" ht="15" hidden="false" customHeight="false" outlineLevel="0" collapsed="false">
      <c r="A11" s="5" t="str">
        <f aca="false">Ops!A11</f>
        <v>sign</v>
      </c>
      <c r="B11" s="5" t="n">
        <f aca="false">Ops!B11</f>
        <v>10</v>
      </c>
      <c r="C11" s="5" t="n">
        <f aca="false">Ops!C11</f>
        <v>1000</v>
      </c>
      <c r="D11" s="5" t="n">
        <f aca="false">Ops!D11</f>
        <v>1500</v>
      </c>
      <c r="E11" s="6" t="n">
        <f aca="false">(C11*Providers!$C$2+D11*Providers!$D$2)/1000000</f>
        <v>0.0085</v>
      </c>
      <c r="F11" s="6" t="n">
        <f aca="false">(C11*Providers!$C$4+D11*Providers!$D$4)/1000000</f>
        <v>0.00105</v>
      </c>
      <c r="G11" s="6" t="n">
        <f aca="false">(C11*Providers!$C$5+D11*Providers!$D$5)/1000000</f>
        <v>0.00405</v>
      </c>
      <c r="H11" s="6" t="n">
        <f aca="false">MIN(E11:G11)</f>
        <v>0.00105</v>
      </c>
      <c r="I11" s="6" t="n">
        <f aca="false">IF(Ops!E11="anthropic",E11,IF(Ops!E11="openai",F11,G11))</f>
        <v>0.0085</v>
      </c>
      <c r="J11" s="6" t="n">
        <f aca="false">I11-H11</f>
        <v>0.00745</v>
      </c>
    </row>
    <row r="12" customFormat="false" ht="15" hidden="false" customHeight="false" outlineLevel="0" collapsed="false">
      <c r="A12" s="7" t="s">
        <v>54</v>
      </c>
      <c r="E12" s="8" t="n">
        <f aca="false">SUM(E2:E11)</f>
        <v>0.162</v>
      </c>
      <c r="F12" s="8" t="n">
        <f aca="false">SUM(F2:F11)</f>
        <v>0.02082</v>
      </c>
      <c r="G12" s="8" t="n">
        <f aca="false">SUM(G2:G11)</f>
        <v>0.0718</v>
      </c>
      <c r="H12" s="8" t="n">
        <f aca="false">SUM(H2:H11)</f>
        <v>0.02082</v>
      </c>
      <c r="I12" s="8" t="n">
        <f aca="false">SUM(I2:I11)</f>
        <v>0.146515</v>
      </c>
      <c r="J12" s="8" t="n">
        <f aca="false">SUM(J2:J11)</f>
        <v>0.125695</v>
      </c>
    </row>
  </sheetData>
  <conditionalFormatting sqref="J2:J12">
    <cfRule type="cellIs" priority="2" operator="greaterThan" aboveAverage="0" equalAverage="0" bottom="0" percent="0" rank="0" text="" dxfId="0">
      <formula>0.00001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8" min="2" style="0" width="17"/>
  </cols>
  <sheetData>
    <row r="1" customFormat="false" ht="31.5" hidden="false" customHeight="true" outlineLevel="0" collapsed="false">
      <c r="A1" s="4" t="s">
        <v>20</v>
      </c>
      <c r="B1" s="4" t="s">
        <v>55</v>
      </c>
      <c r="C1" s="4" t="s">
        <v>56</v>
      </c>
      <c r="D1" s="4" t="s">
        <v>57</v>
      </c>
      <c r="E1" s="4" t="s">
        <v>58</v>
      </c>
      <c r="F1" s="4" t="s">
        <v>51</v>
      </c>
      <c r="G1" s="4" t="s">
        <v>59</v>
      </c>
      <c r="H1" s="4" t="s">
        <v>60</v>
      </c>
    </row>
    <row r="2" customFormat="false" ht="15" hidden="false" customHeight="false" outlineLevel="0" collapsed="false">
      <c r="A2" s="5" t="str">
        <f aca="false">Ops!A2</f>
        <v>chat_turn</v>
      </c>
      <c r="B2" s="5" t="str">
        <f aca="false">Ops!E2</f>
        <v>openai</v>
      </c>
      <c r="C2" s="5" t="str">
        <f aca="false">INDEX({"anthropic","openai","gemini"},MATCH(MIN('Cost Matrix'!E2:G2),'Cost Matrix'!E2:G2,0))</f>
        <v>openai</v>
      </c>
      <c r="D2" s="5" t="str">
        <f aca="false">IF(B2=C2,"✓","→ re-route")</f>
        <v>✓</v>
      </c>
      <c r="E2" s="9" t="n">
        <f aca="false">'Cost Matrix'!I2</f>
        <v>0.000465</v>
      </c>
      <c r="F2" s="9" t="n">
        <f aca="false">'Cost Matrix'!H2</f>
        <v>0.000465</v>
      </c>
      <c r="G2" s="9" t="n">
        <f aca="false">E2-F2</f>
        <v>0</v>
      </c>
      <c r="H2" s="10" t="n">
        <f aca="false">G2*1000</f>
        <v>0</v>
      </c>
    </row>
    <row r="3" customFormat="false" ht="15" hidden="false" customHeight="false" outlineLevel="0" collapsed="false">
      <c r="A3" s="5" t="str">
        <f aca="false">Ops!A3</f>
        <v>summarize</v>
      </c>
      <c r="B3" s="5" t="str">
        <f aca="false">Ops!E3</f>
        <v>anthropic</v>
      </c>
      <c r="C3" s="5" t="str">
        <f aca="false">INDEX({"anthropic","openai","gemini"},MATCH(MIN('Cost Matrix'!E3:G3),'Cost Matrix'!E3:G3,0))</f>
        <v>openai</v>
      </c>
      <c r="D3" s="5" t="str">
        <f aca="false">IF(B3=C3,"✓","→ re-route")</f>
        <v>→ re-route</v>
      </c>
      <c r="E3" s="9" t="n">
        <f aca="false">'Cost Matrix'!I3</f>
        <v>0.011</v>
      </c>
      <c r="F3" s="9" t="n">
        <f aca="false">'Cost Matrix'!H3</f>
        <v>0.00156</v>
      </c>
      <c r="G3" s="9" t="n">
        <f aca="false">E3-F3</f>
        <v>0.00944</v>
      </c>
      <c r="H3" s="10" t="n">
        <f aca="false">G3*1000</f>
        <v>9.44</v>
      </c>
    </row>
    <row r="4" customFormat="false" ht="15" hidden="false" customHeight="false" outlineLevel="0" collapsed="false">
      <c r="A4" s="5" t="str">
        <f aca="false">Ops!A4</f>
        <v>translate</v>
      </c>
      <c r="B4" s="5" t="str">
        <f aca="false">Ops!E4</f>
        <v>gemini</v>
      </c>
      <c r="C4" s="5" t="str">
        <f aca="false">INDEX({"anthropic","openai","gemini"},MATCH(MIN('Cost Matrix'!E4:G4),'Cost Matrix'!E4:G4,0))</f>
        <v>openai</v>
      </c>
      <c r="D4" s="5" t="str">
        <f aca="false">IF(B4=C4,"✓","→ re-route")</f>
        <v>→ re-route</v>
      </c>
      <c r="E4" s="9" t="n">
        <f aca="false">'Cost Matrix'!I4</f>
        <v>0.0089</v>
      </c>
      <c r="F4" s="9" t="n">
        <f aca="false">'Cost Matrix'!H4</f>
        <v>0.00237</v>
      </c>
      <c r="G4" s="9" t="n">
        <f aca="false">E4-F4</f>
        <v>0.00653</v>
      </c>
      <c r="H4" s="10" t="n">
        <f aca="false">G4*1000</f>
        <v>6.53</v>
      </c>
    </row>
    <row r="5" customFormat="false" ht="15" hidden="false" customHeight="false" outlineLevel="0" collapsed="false">
      <c r="A5" s="5" t="str">
        <f aca="false">Ops!A5</f>
        <v>ocr</v>
      </c>
      <c r="B5" s="5" t="str">
        <f aca="false">Ops!E5</f>
        <v>gemini</v>
      </c>
      <c r="C5" s="5" t="str">
        <f aca="false">INDEX({"anthropic","openai","gemini"},MATCH(MIN('Cost Matrix'!E5:G5),'Cost Matrix'!E5:G5,0))</f>
        <v>openai</v>
      </c>
      <c r="D5" s="5" t="str">
        <f aca="false">IF(B5=C5,"✓","→ re-route")</f>
        <v>→ re-route</v>
      </c>
      <c r="E5" s="9" t="n">
        <f aca="false">'Cost Matrix'!I5</f>
        <v>0.00215</v>
      </c>
      <c r="F5" s="9" t="n">
        <f aca="false">'Cost Matrix'!H5</f>
        <v>0.000555</v>
      </c>
      <c r="G5" s="9" t="n">
        <f aca="false">E5-F5</f>
        <v>0.001595</v>
      </c>
      <c r="H5" s="10" t="n">
        <f aca="false">G5*1000</f>
        <v>1.595</v>
      </c>
    </row>
    <row r="6" customFormat="false" ht="15" hidden="false" customHeight="false" outlineLevel="0" collapsed="false">
      <c r="A6" s="5" t="str">
        <f aca="false">Ops!A6</f>
        <v>compare</v>
      </c>
      <c r="B6" s="5" t="str">
        <f aca="false">Ops!E6</f>
        <v>anthropic</v>
      </c>
      <c r="C6" s="5" t="str">
        <f aca="false">INDEX({"anthropic","openai","gemini"},MATCH(MIN('Cost Matrix'!E6:G6),'Cost Matrix'!E6:G6,0))</f>
        <v>openai</v>
      </c>
      <c r="D6" s="5" t="str">
        <f aca="false">IF(B6=C6,"✓","→ re-route")</f>
        <v>→ re-route</v>
      </c>
      <c r="E6" s="9" t="n">
        <f aca="false">'Cost Matrix'!I6</f>
        <v>0.025</v>
      </c>
      <c r="F6" s="9" t="n">
        <f aca="false">'Cost Matrix'!H6</f>
        <v>0.00345</v>
      </c>
      <c r="G6" s="9" t="n">
        <f aca="false">E6-F6</f>
        <v>0.02155</v>
      </c>
      <c r="H6" s="10" t="n">
        <f aca="false">G6*1000</f>
        <v>21.55</v>
      </c>
    </row>
    <row r="7" customFormat="false" ht="15" hidden="false" customHeight="false" outlineLevel="0" collapsed="false">
      <c r="A7" s="5" t="str">
        <f aca="false">Ops!A7</f>
        <v>rewrite</v>
      </c>
      <c r="B7" s="5" t="str">
        <f aca="false">Ops!E7</f>
        <v>anthropic</v>
      </c>
      <c r="C7" s="5" t="str">
        <f aca="false">INDEX({"anthropic","openai","gemini"},MATCH(MIN('Cost Matrix'!E7:G7),'Cost Matrix'!E7:G7,0))</f>
        <v>openai</v>
      </c>
      <c r="D7" s="5" t="str">
        <f aca="false">IF(B7=C7,"✓","→ re-route")</f>
        <v>→ re-route</v>
      </c>
      <c r="E7" s="9" t="n">
        <f aca="false">'Cost Matrix'!I7</f>
        <v>0.025</v>
      </c>
      <c r="F7" s="9" t="n">
        <f aca="false">'Cost Matrix'!H7</f>
        <v>0.00312</v>
      </c>
      <c r="G7" s="9" t="n">
        <f aca="false">E7-F7</f>
        <v>0.02188</v>
      </c>
      <c r="H7" s="10" t="n">
        <f aca="false">G7*1000</f>
        <v>21.88</v>
      </c>
    </row>
    <row r="8" customFormat="false" ht="15" hidden="false" customHeight="false" outlineLevel="0" collapsed="false">
      <c r="A8" s="5" t="str">
        <f aca="false">Ops!A8</f>
        <v>table</v>
      </c>
      <c r="B8" s="5" t="str">
        <f aca="false">Ops!E8</f>
        <v>anthropic</v>
      </c>
      <c r="C8" s="5" t="str">
        <f aca="false">INDEX({"anthropic","openai","gemini"},MATCH(MIN('Cost Matrix'!E8:G8),'Cost Matrix'!E8:G8,0))</f>
        <v>openai</v>
      </c>
      <c r="D8" s="5" t="str">
        <f aca="false">IF(B8=C8,"✓","→ re-route")</f>
        <v>→ re-route</v>
      </c>
      <c r="E8" s="9" t="n">
        <f aca="false">'Cost Matrix'!I8</f>
        <v>0.0135</v>
      </c>
      <c r="F8" s="9" t="n">
        <f aca="false">'Cost Matrix'!H8</f>
        <v>0.0018</v>
      </c>
      <c r="G8" s="9" t="n">
        <f aca="false">E8-F8</f>
        <v>0.0117</v>
      </c>
      <c r="H8" s="10" t="n">
        <f aca="false">G8*1000</f>
        <v>11.7</v>
      </c>
    </row>
    <row r="9" customFormat="false" ht="15" hidden="false" customHeight="false" outlineLevel="0" collapsed="false">
      <c r="A9" s="5" t="str">
        <f aca="false">Ops!A9</f>
        <v>redact</v>
      </c>
      <c r="B9" s="5" t="str">
        <f aca="false">Ops!E9</f>
        <v>anthropic</v>
      </c>
      <c r="C9" s="5" t="str">
        <f aca="false">INDEX({"anthropic","openai","gemini"},MATCH(MIN('Cost Matrix'!E9:G9),'Cost Matrix'!E9:G9,0))</f>
        <v>openai</v>
      </c>
      <c r="D9" s="5" t="str">
        <f aca="false">IF(B9=C9,"✓","→ re-route")</f>
        <v>→ re-route</v>
      </c>
      <c r="E9" s="9" t="n">
        <f aca="false">'Cost Matrix'!I9</f>
        <v>0.01</v>
      </c>
      <c r="F9" s="9" t="n">
        <f aca="false">'Cost Matrix'!H9</f>
        <v>0.00135</v>
      </c>
      <c r="G9" s="9" t="n">
        <f aca="false">E9-F9</f>
        <v>0.00865</v>
      </c>
      <c r="H9" s="10" t="n">
        <f aca="false">G9*1000</f>
        <v>8.65</v>
      </c>
    </row>
    <row r="10" customFormat="false" ht="15" hidden="false" customHeight="false" outlineLevel="0" collapsed="false">
      <c r="A10" s="5" t="str">
        <f aca="false">Ops!A10</f>
        <v>generate</v>
      </c>
      <c r="B10" s="5" t="str">
        <f aca="false">Ops!E10</f>
        <v>anthropic</v>
      </c>
      <c r="C10" s="5" t="str">
        <f aca="false">INDEX({"anthropic","openai","gemini"},MATCH(MIN('Cost Matrix'!E10:G10),'Cost Matrix'!E10:G10,0))</f>
        <v>openai</v>
      </c>
      <c r="D10" s="5" t="str">
        <f aca="false">IF(B10=C10,"✓","→ re-route")</f>
        <v>→ re-route</v>
      </c>
      <c r="E10" s="9" t="n">
        <f aca="false">'Cost Matrix'!I10</f>
        <v>0.042</v>
      </c>
      <c r="F10" s="9" t="n">
        <f aca="false">'Cost Matrix'!H10</f>
        <v>0.0051</v>
      </c>
      <c r="G10" s="9" t="n">
        <f aca="false">E10-F10</f>
        <v>0.0369</v>
      </c>
      <c r="H10" s="10" t="n">
        <f aca="false">G10*1000</f>
        <v>36.9</v>
      </c>
    </row>
    <row r="11" customFormat="false" ht="15" hidden="false" customHeight="false" outlineLevel="0" collapsed="false">
      <c r="A11" s="5" t="str">
        <f aca="false">Ops!A11</f>
        <v>sign</v>
      </c>
      <c r="B11" s="5" t="str">
        <f aca="false">Ops!E11</f>
        <v>anthropic</v>
      </c>
      <c r="C11" s="5" t="str">
        <f aca="false">INDEX({"anthropic","openai","gemini"},MATCH(MIN('Cost Matrix'!E11:G11),'Cost Matrix'!E11:G11,0))</f>
        <v>openai</v>
      </c>
      <c r="D11" s="5" t="str">
        <f aca="false">IF(B11=C11,"✓","→ re-route")</f>
        <v>→ re-route</v>
      </c>
      <c r="E11" s="9" t="n">
        <f aca="false">'Cost Matrix'!I11</f>
        <v>0.0085</v>
      </c>
      <c r="F11" s="9" t="n">
        <f aca="false">'Cost Matrix'!H11</f>
        <v>0.00105</v>
      </c>
      <c r="G11" s="9" t="n">
        <f aca="false">E11-F11</f>
        <v>0.00745</v>
      </c>
      <c r="H11" s="10" t="n">
        <f aca="false">G11*1000</f>
        <v>7.45</v>
      </c>
    </row>
  </sheetData>
  <conditionalFormatting sqref="D2:D11">
    <cfRule type="cellIs" priority="2" operator="equal" aboveAverage="0" equalAverage="0" bottom="0" percent="0" rank="0" text="" dxfId="1">
      <formula>"→ re-route"</formula>
    </cfRule>
    <cfRule type="cellIs" priority="3" operator="equal" aboveAverage="0" equalAverage="0" bottom="0" percent="0" rank="0" text="" dxfId="0">
      <formula>"✓"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8" min="2" style="0" width="17"/>
    <col collapsed="false" customWidth="true" hidden="false" outlineLevel="0" max="9" min="9" style="0" width="36"/>
  </cols>
  <sheetData>
    <row r="1" customFormat="false" ht="15" hidden="false" customHeight="false" outlineLevel="0" collapsed="false">
      <c r="A1" s="7" t="s">
        <v>61</v>
      </c>
    </row>
    <row r="2" customFormat="false" ht="15" hidden="false" customHeight="false" outlineLevel="0" collapsed="false">
      <c r="A2" s="7" t="s">
        <v>62</v>
      </c>
      <c r="B2" s="11" t="n">
        <v>0.03</v>
      </c>
      <c r="C2" s="12" t="s">
        <v>63</v>
      </c>
    </row>
    <row r="3" customFormat="false" ht="15" hidden="false" customHeight="false" outlineLevel="0" collapsed="false">
      <c r="A3" s="7" t="s">
        <v>64</v>
      </c>
      <c r="B3" s="13" t="n">
        <v>0.75</v>
      </c>
      <c r="C3" s="12" t="s">
        <v>65</v>
      </c>
    </row>
    <row r="5" customFormat="false" ht="39.75" hidden="false" customHeight="true" outlineLevel="0" collapsed="false">
      <c r="A5" s="4" t="s">
        <v>20</v>
      </c>
      <c r="B5" s="4" t="s">
        <v>45</v>
      </c>
      <c r="C5" s="4" t="s">
        <v>66</v>
      </c>
      <c r="D5" s="4" t="s">
        <v>58</v>
      </c>
      <c r="E5" s="4" t="s">
        <v>51</v>
      </c>
      <c r="F5" s="4" t="s">
        <v>67</v>
      </c>
      <c r="G5" s="4" t="s">
        <v>68</v>
      </c>
      <c r="H5" s="4" t="s">
        <v>69</v>
      </c>
      <c r="I5" s="4" t="s">
        <v>70</v>
      </c>
    </row>
    <row r="6" customFormat="false" ht="15" hidden="false" customHeight="false" outlineLevel="0" collapsed="false">
      <c r="A6" s="5" t="str">
        <f aca="false">Ops!A2</f>
        <v>chat_turn</v>
      </c>
      <c r="B6" s="5" t="n">
        <f aca="false">Ops!B2</f>
        <v>1</v>
      </c>
      <c r="C6" s="14" t="n">
        <f aca="false">B6*$B$2</f>
        <v>0.03</v>
      </c>
      <c r="D6" s="14" t="n">
        <f aca="false">'Cost Matrix'!I2</f>
        <v>0.000465</v>
      </c>
      <c r="E6" s="14" t="n">
        <f aca="false">'Cost Matrix'!H2</f>
        <v>0.000465</v>
      </c>
      <c r="F6" s="15" t="n">
        <f aca="false">IF(C6=0,0,(C6-D6)/C6)</f>
        <v>0.9845</v>
      </c>
      <c r="G6" s="15" t="n">
        <f aca="false">IF(C6=0,0,(C6-E6)/C6)</f>
        <v>0.9845</v>
      </c>
      <c r="H6" s="14" t="n">
        <f aca="false">IF(D6=0,0,D6/(1-$B$3)/B6)</f>
        <v>0.00186</v>
      </c>
      <c r="I6" s="5" t="str">
        <f aca="false">IF(F6&gt;=$B$3,"OK",IF(G6&gt;=$B$3,"Re-route to cheapest","Re-price or cap op — current cannot hit target"))</f>
        <v>OK</v>
      </c>
    </row>
    <row r="7" customFormat="false" ht="15" hidden="false" customHeight="false" outlineLevel="0" collapsed="false">
      <c r="A7" s="5" t="str">
        <f aca="false">Ops!A3</f>
        <v>summarize</v>
      </c>
      <c r="B7" s="5" t="n">
        <f aca="false">Ops!B3</f>
        <v>3</v>
      </c>
      <c r="C7" s="14" t="n">
        <f aca="false">B7*$B$2</f>
        <v>0.09</v>
      </c>
      <c r="D7" s="14" t="n">
        <f aca="false">'Cost Matrix'!I3</f>
        <v>0.011</v>
      </c>
      <c r="E7" s="14" t="n">
        <f aca="false">'Cost Matrix'!H3</f>
        <v>0.00156</v>
      </c>
      <c r="F7" s="15" t="n">
        <f aca="false">IF(C7=0,0,(C7-D7)/C7)</f>
        <v>0.877777777777778</v>
      </c>
      <c r="G7" s="15" t="n">
        <f aca="false">IF(C7=0,0,(C7-E7)/C7)</f>
        <v>0.982666666666667</v>
      </c>
      <c r="H7" s="14" t="n">
        <f aca="false">IF(D7=0,0,D7/(1-$B$3)/B7)</f>
        <v>0.0146666666666667</v>
      </c>
      <c r="I7" s="5" t="str">
        <f aca="false">IF(F7&gt;=$B$3,"OK",IF(G7&gt;=$B$3,"Re-route to cheapest","Re-price or cap op — current cannot hit target"))</f>
        <v>OK</v>
      </c>
    </row>
    <row r="8" customFormat="false" ht="15" hidden="false" customHeight="false" outlineLevel="0" collapsed="false">
      <c r="A8" s="5" t="str">
        <f aca="false">Ops!A4</f>
        <v>translate</v>
      </c>
      <c r="B8" s="5" t="n">
        <f aca="false">Ops!B4</f>
        <v>5</v>
      </c>
      <c r="C8" s="14" t="n">
        <f aca="false">B8*$B$2</f>
        <v>0.15</v>
      </c>
      <c r="D8" s="14" t="n">
        <f aca="false">'Cost Matrix'!I4</f>
        <v>0.0089</v>
      </c>
      <c r="E8" s="14" t="n">
        <f aca="false">'Cost Matrix'!H4</f>
        <v>0.00237</v>
      </c>
      <c r="F8" s="15" t="n">
        <f aca="false">IF(C8=0,0,(C8-D8)/C8)</f>
        <v>0.940666666666667</v>
      </c>
      <c r="G8" s="15" t="n">
        <f aca="false">IF(C8=0,0,(C8-E8)/C8)</f>
        <v>0.9842</v>
      </c>
      <c r="H8" s="14" t="n">
        <f aca="false">IF(D8=0,0,D8/(1-$B$3)/B8)</f>
        <v>0.00712</v>
      </c>
      <c r="I8" s="5" t="str">
        <f aca="false">IF(F8&gt;=$B$3,"OK",IF(G8&gt;=$B$3,"Re-route to cheapest","Re-price or cap op — current cannot hit target"))</f>
        <v>OK</v>
      </c>
    </row>
    <row r="9" customFormat="false" ht="15" hidden="false" customHeight="false" outlineLevel="0" collapsed="false">
      <c r="A9" s="5" t="str">
        <f aca="false">Ops!A5</f>
        <v>ocr</v>
      </c>
      <c r="B9" s="5" t="n">
        <f aca="false">Ops!B5</f>
        <v>2</v>
      </c>
      <c r="C9" s="14" t="n">
        <f aca="false">B9*$B$2</f>
        <v>0.06</v>
      </c>
      <c r="D9" s="14" t="n">
        <f aca="false">'Cost Matrix'!I5</f>
        <v>0.00215</v>
      </c>
      <c r="E9" s="14" t="n">
        <f aca="false">'Cost Matrix'!H5</f>
        <v>0.000555</v>
      </c>
      <c r="F9" s="15" t="n">
        <f aca="false">IF(C9=0,0,(C9-D9)/C9)</f>
        <v>0.964166666666667</v>
      </c>
      <c r="G9" s="15" t="n">
        <f aca="false">IF(C9=0,0,(C9-E9)/C9)</f>
        <v>0.99075</v>
      </c>
      <c r="H9" s="14" t="n">
        <f aca="false">IF(D9=0,0,D9/(1-$B$3)/B9)</f>
        <v>0.0043</v>
      </c>
      <c r="I9" s="5" t="str">
        <f aca="false">IF(F9&gt;=$B$3,"OK",IF(G9&gt;=$B$3,"Re-route to cheapest","Re-price or cap op — current cannot hit target"))</f>
        <v>OK</v>
      </c>
    </row>
    <row r="10" customFormat="false" ht="15" hidden="false" customHeight="false" outlineLevel="0" collapsed="false">
      <c r="A10" s="5" t="str">
        <f aca="false">Ops!A6</f>
        <v>compare</v>
      </c>
      <c r="B10" s="5" t="n">
        <f aca="false">Ops!B6</f>
        <v>15</v>
      </c>
      <c r="C10" s="14" t="n">
        <f aca="false">B10*$B$2</f>
        <v>0.45</v>
      </c>
      <c r="D10" s="14" t="n">
        <f aca="false">'Cost Matrix'!I6</f>
        <v>0.025</v>
      </c>
      <c r="E10" s="14" t="n">
        <f aca="false">'Cost Matrix'!H6</f>
        <v>0.00345</v>
      </c>
      <c r="F10" s="15" t="n">
        <f aca="false">IF(C10=0,0,(C10-D10)/C10)</f>
        <v>0.944444444444444</v>
      </c>
      <c r="G10" s="15" t="n">
        <f aca="false">IF(C10=0,0,(C10-E10)/C10)</f>
        <v>0.992333333333333</v>
      </c>
      <c r="H10" s="14" t="n">
        <f aca="false">IF(D10=0,0,D10/(1-$B$3)/B10)</f>
        <v>0.00666666666666667</v>
      </c>
      <c r="I10" s="5" t="str">
        <f aca="false">IF(F10&gt;=$B$3,"OK",IF(G10&gt;=$B$3,"Re-route to cheapest","Re-price or cap op — current cannot hit target"))</f>
        <v>OK</v>
      </c>
    </row>
    <row r="11" customFormat="false" ht="15" hidden="false" customHeight="false" outlineLevel="0" collapsed="false">
      <c r="A11" s="5" t="str">
        <f aca="false">Ops!A7</f>
        <v>rewrite</v>
      </c>
      <c r="B11" s="5" t="n">
        <f aca="false">Ops!B7</f>
        <v>3</v>
      </c>
      <c r="C11" s="14" t="n">
        <f aca="false">B11*$B$2</f>
        <v>0.09</v>
      </c>
      <c r="D11" s="14" t="n">
        <f aca="false">'Cost Matrix'!I7</f>
        <v>0.025</v>
      </c>
      <c r="E11" s="14" t="n">
        <f aca="false">'Cost Matrix'!H7</f>
        <v>0.00312</v>
      </c>
      <c r="F11" s="15" t="n">
        <f aca="false">IF(C11=0,0,(C11-D11)/C11)</f>
        <v>0.722222222222222</v>
      </c>
      <c r="G11" s="15" t="n">
        <f aca="false">IF(C11=0,0,(C11-E11)/C11)</f>
        <v>0.965333333333333</v>
      </c>
      <c r="H11" s="14" t="n">
        <f aca="false">IF(D11=0,0,D11/(1-$B$3)/B11)</f>
        <v>0.0333333333333333</v>
      </c>
      <c r="I11" s="5" t="str">
        <f aca="false">IF(F11&gt;=$B$3,"OK",IF(G11&gt;=$B$3,"Re-route to cheapest","Re-price or cap op — current cannot hit target"))</f>
        <v>Re-route to cheapest</v>
      </c>
    </row>
    <row r="12" customFormat="false" ht="15" hidden="false" customHeight="false" outlineLevel="0" collapsed="false">
      <c r="A12" s="5" t="str">
        <f aca="false">Ops!A8</f>
        <v>table</v>
      </c>
      <c r="B12" s="5" t="n">
        <f aca="false">Ops!B8</f>
        <v>3</v>
      </c>
      <c r="C12" s="14" t="n">
        <f aca="false">B12*$B$2</f>
        <v>0.09</v>
      </c>
      <c r="D12" s="14" t="n">
        <f aca="false">'Cost Matrix'!I8</f>
        <v>0.0135</v>
      </c>
      <c r="E12" s="14" t="n">
        <f aca="false">'Cost Matrix'!H8</f>
        <v>0.0018</v>
      </c>
      <c r="F12" s="15" t="n">
        <f aca="false">IF(C12=0,0,(C12-D12)/C12)</f>
        <v>0.85</v>
      </c>
      <c r="G12" s="15" t="n">
        <f aca="false">IF(C12=0,0,(C12-E12)/C12)</f>
        <v>0.98</v>
      </c>
      <c r="H12" s="14" t="n">
        <f aca="false">IF(D12=0,0,D12/(1-$B$3)/B12)</f>
        <v>0.018</v>
      </c>
      <c r="I12" s="5" t="str">
        <f aca="false">IF(F12&gt;=$B$3,"OK",IF(G12&gt;=$B$3,"Re-route to cheapest","Re-price or cap op — current cannot hit target"))</f>
        <v>OK</v>
      </c>
    </row>
    <row r="13" customFormat="false" ht="15" hidden="false" customHeight="false" outlineLevel="0" collapsed="false">
      <c r="A13" s="5" t="str">
        <f aca="false">Ops!A9</f>
        <v>redact</v>
      </c>
      <c r="B13" s="5" t="n">
        <f aca="false">Ops!B9</f>
        <v>5</v>
      </c>
      <c r="C13" s="14" t="n">
        <f aca="false">B13*$B$2</f>
        <v>0.15</v>
      </c>
      <c r="D13" s="14" t="n">
        <f aca="false">'Cost Matrix'!I9</f>
        <v>0.01</v>
      </c>
      <c r="E13" s="14" t="n">
        <f aca="false">'Cost Matrix'!H9</f>
        <v>0.00135</v>
      </c>
      <c r="F13" s="15" t="n">
        <f aca="false">IF(C13=0,0,(C13-D13)/C13)</f>
        <v>0.933333333333333</v>
      </c>
      <c r="G13" s="15" t="n">
        <f aca="false">IF(C13=0,0,(C13-E13)/C13)</f>
        <v>0.991</v>
      </c>
      <c r="H13" s="14" t="n">
        <f aca="false">IF(D13=0,0,D13/(1-$B$3)/B13)</f>
        <v>0.008</v>
      </c>
      <c r="I13" s="5" t="str">
        <f aca="false">IF(F13&gt;=$B$3,"OK",IF(G13&gt;=$B$3,"Re-route to cheapest","Re-price or cap op — current cannot hit target"))</f>
        <v>OK</v>
      </c>
    </row>
    <row r="14" customFormat="false" ht="15" hidden="false" customHeight="false" outlineLevel="0" collapsed="false">
      <c r="A14" s="5" t="str">
        <f aca="false">Ops!A10</f>
        <v>generate</v>
      </c>
      <c r="B14" s="5" t="n">
        <f aca="false">Ops!B10</f>
        <v>20</v>
      </c>
      <c r="C14" s="14" t="n">
        <f aca="false">B14*$B$2</f>
        <v>0.6</v>
      </c>
      <c r="D14" s="14" t="n">
        <f aca="false">'Cost Matrix'!I10</f>
        <v>0.042</v>
      </c>
      <c r="E14" s="14" t="n">
        <f aca="false">'Cost Matrix'!H10</f>
        <v>0.0051</v>
      </c>
      <c r="F14" s="15" t="n">
        <f aca="false">IF(C14=0,0,(C14-D14)/C14)</f>
        <v>0.93</v>
      </c>
      <c r="G14" s="15" t="n">
        <f aca="false">IF(C14=0,0,(C14-E14)/C14)</f>
        <v>0.9915</v>
      </c>
      <c r="H14" s="14" t="n">
        <f aca="false">IF(D14=0,0,D14/(1-$B$3)/B14)</f>
        <v>0.0084</v>
      </c>
      <c r="I14" s="5" t="str">
        <f aca="false">IF(F14&gt;=$B$3,"OK",IF(G14&gt;=$B$3,"Re-route to cheapest","Re-price or cap op — current cannot hit target"))</f>
        <v>OK</v>
      </c>
    </row>
    <row r="15" customFormat="false" ht="15" hidden="false" customHeight="false" outlineLevel="0" collapsed="false">
      <c r="A15" s="5" t="str">
        <f aca="false">Ops!A11</f>
        <v>sign</v>
      </c>
      <c r="B15" s="5" t="n">
        <f aca="false">Ops!B11</f>
        <v>10</v>
      </c>
      <c r="C15" s="14" t="n">
        <f aca="false">B15*$B$2</f>
        <v>0.3</v>
      </c>
      <c r="D15" s="14" t="n">
        <f aca="false">'Cost Matrix'!I11</f>
        <v>0.0085</v>
      </c>
      <c r="E15" s="14" t="n">
        <f aca="false">'Cost Matrix'!H11</f>
        <v>0.00105</v>
      </c>
      <c r="F15" s="15" t="n">
        <f aca="false">IF(C15=0,0,(C15-D15)/C15)</f>
        <v>0.971666666666667</v>
      </c>
      <c r="G15" s="15" t="n">
        <f aca="false">IF(C15=0,0,(C15-E15)/C15)</f>
        <v>0.9965</v>
      </c>
      <c r="H15" s="14" t="n">
        <f aca="false">IF(D15=0,0,D15/(1-$B$3)/B15)</f>
        <v>0.0034</v>
      </c>
      <c r="I15" s="5" t="str">
        <f aca="false">IF(F15&gt;=$B$3,"OK",IF(G15&gt;=$B$3,"Re-route to cheapest","Re-price or cap op — current cannot hit target"))</f>
        <v>OK</v>
      </c>
    </row>
  </sheetData>
  <conditionalFormatting sqref="F6:F15">
    <cfRule type="cellIs" priority="2" operator="lessThan" aboveAverage="0" equalAverage="0" bottom="0" percent="0" rank="0" text="" dxfId="1">
      <formula>0.5</formula>
    </cfRule>
    <cfRule type="cellIs" priority="3" operator="between" aboveAverage="0" equalAverage="0" bottom="0" percent="0" rank="0" text="" dxfId="2">
      <formula>0.5</formula>
      <formula>0.7499</formula>
    </cfRule>
    <cfRule type="cellIs" priority="4" operator="greaterThanOrEqual" aboveAverage="0" equalAverage="0" bottom="0" percent="0" rank="0" text="" dxfId="0">
      <formula>0.75</formula>
    </cfRule>
  </conditionalFormatting>
  <conditionalFormatting sqref="G6:G15">
    <cfRule type="cellIs" priority="5" operator="lessThan" aboveAverage="0" equalAverage="0" bottom="0" percent="0" rank="0" text="" dxfId="1">
      <formula>0.5</formula>
    </cfRule>
    <cfRule type="cellIs" priority="6" operator="between" aboveAverage="0" equalAverage="0" bottom="0" percent="0" rank="0" text="" dxfId="2">
      <formula>0.5</formula>
      <formula>0.7499</formula>
    </cfRule>
    <cfRule type="cellIs" priority="7" operator="greaterThanOrEqual" aboveAverage="0" equalAverage="0" bottom="0" percent="0" rank="0" text="" dxfId="0">
      <formula>0.75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8"/>
  </cols>
  <sheetData>
    <row r="1" customFormat="false" ht="15" hidden="false" customHeight="false" outlineLevel="0" collapsed="false">
      <c r="A1" s="16" t="s">
        <v>71</v>
      </c>
    </row>
    <row r="2" customFormat="false" ht="15" hidden="false" customHeight="false" outlineLevel="0" collapsed="false">
      <c r="A2" s="12"/>
      <c r="B2" s="12"/>
    </row>
    <row r="3" customFormat="false" ht="15" hidden="false" customHeight="false" outlineLevel="0" collapsed="false">
      <c r="A3" s="7" t="s">
        <v>72</v>
      </c>
      <c r="B3" s="12" t="s">
        <v>73</v>
      </c>
    </row>
    <row r="4" customFormat="false" ht="15" hidden="false" customHeight="false" outlineLevel="0" collapsed="false">
      <c r="A4" s="7" t="s">
        <v>74</v>
      </c>
      <c r="B4" s="12" t="s">
        <v>75</v>
      </c>
    </row>
    <row r="5" customFormat="false" ht="15" hidden="false" customHeight="false" outlineLevel="0" collapsed="false">
      <c r="A5" s="7" t="s">
        <v>76</v>
      </c>
      <c r="B5" s="12" t="s">
        <v>28</v>
      </c>
    </row>
    <row r="6" customFormat="false" ht="15" hidden="false" customHeight="false" outlineLevel="0" collapsed="false">
      <c r="A6" s="7" t="s">
        <v>77</v>
      </c>
      <c r="B6" s="12" t="s">
        <v>5</v>
      </c>
    </row>
    <row r="7" customFormat="false" ht="15" hidden="false" customHeight="false" outlineLevel="0" collapsed="false">
      <c r="A7" s="7" t="s">
        <v>78</v>
      </c>
      <c r="B7" s="12" t="s">
        <v>6</v>
      </c>
    </row>
    <row r="8" customFormat="false" ht="15" hidden="false" customHeight="false" outlineLevel="0" collapsed="false">
      <c r="A8" s="7" t="s">
        <v>79</v>
      </c>
      <c r="B8" s="12" t="n">
        <v>1291</v>
      </c>
    </row>
    <row r="9" customFormat="false" ht="15" hidden="false" customHeight="false" outlineLevel="0" collapsed="false">
      <c r="A9" s="7" t="s">
        <v>80</v>
      </c>
      <c r="B9" s="12" t="n">
        <v>839</v>
      </c>
    </row>
    <row r="10" customFormat="false" ht="15" hidden="false" customHeight="false" outlineLevel="0" collapsed="false">
      <c r="A10" s="7" t="s">
        <v>81</v>
      </c>
      <c r="B10" s="12" t="n">
        <v>7429</v>
      </c>
    </row>
    <row r="11" customFormat="false" ht="15" hidden="false" customHeight="false" outlineLevel="0" collapsed="false">
      <c r="A11" s="7" t="s">
        <v>82</v>
      </c>
      <c r="B11" s="12" t="n">
        <v>3</v>
      </c>
    </row>
    <row r="12" customFormat="false" ht="15" hidden="false" customHeight="false" outlineLevel="0" collapsed="false">
      <c r="A12" s="7" t="s">
        <v>83</v>
      </c>
      <c r="B12" s="12" t="s">
        <v>84</v>
      </c>
    </row>
    <row r="13" customFormat="false" ht="15" hidden="false" customHeight="false" outlineLevel="0" collapsed="false">
      <c r="A13" s="12"/>
      <c r="B13" s="12"/>
    </row>
    <row r="14" customFormat="false" ht="15" hidden="false" customHeight="false" outlineLevel="0" collapsed="false">
      <c r="A14" s="7" t="s">
        <v>85</v>
      </c>
      <c r="B14" s="12"/>
    </row>
    <row r="15" customFormat="false" ht="15" hidden="false" customHeight="false" outlineLevel="0" collapsed="false">
      <c r="A15" s="7" t="s">
        <v>86</v>
      </c>
      <c r="B15" s="17" t="n">
        <f aca="false">(B8*Providers!C2+B9*Providers!D2)/1000000</f>
        <v>0.005486</v>
      </c>
    </row>
    <row r="16" customFormat="false" ht="15" hidden="false" customHeight="false" outlineLevel="0" collapsed="false">
      <c r="A16" s="7" t="s">
        <v>87</v>
      </c>
      <c r="B16" s="17" t="n">
        <f aca="false">(B8*Providers!C4+B9*Providers!D4)/1000000</f>
        <v>0.00069705</v>
      </c>
    </row>
    <row r="17" customFormat="false" ht="15" hidden="false" customHeight="false" outlineLevel="0" collapsed="false">
      <c r="A17" s="7" t="s">
        <v>88</v>
      </c>
      <c r="B17" s="17" t="n">
        <f aca="false">(B8*Providers!C5+B9*Providers!D5)/1000000</f>
        <v>0.0024848</v>
      </c>
    </row>
    <row r="18" customFormat="false" ht="15" hidden="false" customHeight="false" outlineLevel="0" collapsed="false">
      <c r="A18" s="12"/>
      <c r="B18" s="12"/>
    </row>
    <row r="19" customFormat="false" ht="15" hidden="false" customHeight="false" outlineLevel="0" collapsed="false">
      <c r="A19" s="7" t="s">
        <v>89</v>
      </c>
      <c r="B19" s="17" t="n">
        <f aca="false">B11*0.03</f>
        <v>0.09</v>
      </c>
    </row>
    <row r="20" customFormat="false" ht="15" hidden="false" customHeight="false" outlineLevel="0" collapsed="false">
      <c r="A20" s="7" t="s">
        <v>90</v>
      </c>
      <c r="B20" s="18" t="n">
        <f aca="false">(B19-B15)/B19</f>
        <v>0.939044444444444</v>
      </c>
    </row>
    <row r="21" customFormat="false" ht="15" hidden="false" customHeight="false" outlineLevel="0" collapsed="false">
      <c r="A21" s="7" t="s">
        <v>91</v>
      </c>
      <c r="B21" s="18" t="n">
        <f aca="false">(B19-B17)/B19</f>
        <v>0.972391111111111</v>
      </c>
    </row>
    <row r="22" customFormat="false" ht="15" hidden="false" customHeight="false" outlineLevel="0" collapsed="false">
      <c r="A22" s="12"/>
      <c r="B22" s="12"/>
    </row>
    <row r="23" customFormat="false" ht="15" hidden="false" customHeight="false" outlineLevel="0" collapsed="false">
      <c r="A23" s="7" t="s">
        <v>92</v>
      </c>
      <c r="B23" s="12" t="s">
        <v>93</v>
      </c>
    </row>
    <row r="24" customFormat="false" ht="15" hidden="false" customHeight="false" outlineLevel="0" collapsed="false">
      <c r="A24" s="7" t="s">
        <v>94</v>
      </c>
      <c r="B24" s="12" t="s">
        <v>95</v>
      </c>
    </row>
    <row r="25" customFormat="false" ht="15" hidden="false" customHeight="false" outlineLevel="0" collapsed="false">
      <c r="A25" s="7" t="s">
        <v>96</v>
      </c>
      <c r="B25" s="12" t="s">
        <v>97</v>
      </c>
    </row>
    <row r="26" customFormat="false" ht="15" hidden="false" customHeight="false" outlineLevel="0" collapsed="false">
      <c r="A26" s="7" t="s">
        <v>98</v>
      </c>
      <c r="B26" s="12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2026-04-21T17:40:55Z</dcterms:created>
  <dc:creator>openpyxl</dc:creator>
  <dc:description/>
  <dc:language>en-US</dc:language>
  <cp:lastModifiedBy/>
  <dcterms:modified xsi:type="dcterms:W3CDTF">2026-04-21T17:40:55Z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